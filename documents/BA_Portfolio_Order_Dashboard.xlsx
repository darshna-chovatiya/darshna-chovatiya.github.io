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0.0&quot;%&quot;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1"/>
    </font>
    <font>
      <name val="Arial"/>
      <b val="1"/>
      <color rgb="00666666"/>
      <sz val="9"/>
    </font>
    <font>
      <name val="Arial"/>
      <b val="1"/>
      <color rgb="001F4E78"/>
      <sz val="20"/>
    </font>
    <font>
      <name val="Arial"/>
      <color rgb="0070AD47"/>
      <sz val="8"/>
    </font>
    <font>
      <name val="Arial"/>
      <b val="1"/>
      <color rgb="001F4E78"/>
      <sz val="12"/>
    </font>
    <font>
      <name val="Arial"/>
      <b val="1"/>
      <color rgb="00FFFFFF"/>
      <sz val="10"/>
    </font>
    <font>
      <b val="1"/>
      <sz val="10"/>
    </font>
    <font>
      <name val="Arial"/>
      <b val="1"/>
      <color rgb="00FFFFFF"/>
      <sz val="12"/>
    </font>
    <font>
      <name val="Arial"/>
      <b val="1"/>
      <color rgb="001F4E78"/>
      <sz val="10"/>
    </font>
    <font>
      <name val="Arial"/>
      <color rgb="00404040"/>
      <sz val="9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top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164" fontId="8" fillId="5" borderId="1" applyAlignment="1" pivotButton="0" quotePrefix="0" xfId="0">
      <alignment horizontal="center"/>
    </xf>
    <xf numFmtId="165" fontId="8" fillId="5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167" fontId="8" fillId="7" borderId="1" applyAlignment="1" pivotButton="0" quotePrefix="0" xfId="0">
      <alignment horizontal="center"/>
    </xf>
    <xf numFmtId="164" fontId="8" fillId="7" borderId="1" applyAlignment="1" pivotButton="0" quotePrefix="0" xfId="0">
      <alignment horizontal="center"/>
    </xf>
    <xf numFmtId="0" fontId="9" fillId="2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&amp; Order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Dashboard'!$A$9:$A$11</f>
            </numRef>
          </cat>
          <val>
            <numRef>
              <f>'Executive Dashboard'!$C$9:$C$11</f>
            </numRef>
          </val>
        </ser>
        <dLbls>
          <showVal val="1"/>
        </dLbls>
        <gapWidth val="150"/>
        <axId val="10"/>
        <axId val="100"/>
      </barChart>
      <lineChart>
        <grouping val="standard"/>
        <ser>
          <idx val="1"/>
          <order val="1"/>
          <tx>
            <strRef>
              <f>'Executive Dashboard'!B8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Dashboard'!$A$9:$A$11</f>
            </numRef>
          </cat>
          <val>
            <numRef>
              <f>'Executive Dashboard'!$B$9:$B$11</f>
            </numRef>
          </val>
        </ser>
        <dLbls>
          <showVal val="1"/>
        </dLbls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Category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'Executive Dashboard'!H8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Dashboard'!$G$9:$G$12</f>
            </numRef>
          </cat>
          <val>
            <numRef>
              <f>'Executive Dashboard'!$H$9:$H$12</f>
            </numRef>
          </val>
        </ser>
        <dLbls>
          <showVal val="1"/>
          <showCatName val="1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Dashboard'!J8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Dashboard'!$G$9:$G$12</f>
            </numRef>
          </cat>
          <val>
            <numRef>
              <f>'Executive Dashboard'!$J$9:$J$12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30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0" customWidth="1" min="5" max="5"/>
    <col width="14" customWidth="1" min="7" max="7"/>
    <col width="10" customWidth="1" min="8" max="8"/>
    <col width="12" customWidth="1" min="9" max="9"/>
    <col width="12" customWidth="1" min="10" max="10"/>
  </cols>
  <sheetData>
    <row r="1" ht="30" customHeight="1">
      <c r="A1" s="1" t="inlineStr">
        <is>
          <t>E-COMMERCE ANALYTICS DASHBOARD</t>
        </is>
      </c>
    </row>
    <row r="2" ht="20" customHeight="1">
      <c r="A2" s="2" t="inlineStr">
        <is>
          <t>Dvik Jewels - Etsy Store Performance | November 2025 - January 2026</t>
        </is>
      </c>
    </row>
    <row r="4" ht="40" customHeight="1">
      <c r="A4" s="3" t="inlineStr">
        <is>
          <t>TOTAL ORDERS</t>
        </is>
      </c>
      <c r="D4" s="3" t="inlineStr">
        <is>
          <t>REVENUE</t>
        </is>
      </c>
      <c r="G4" s="3" t="inlineStr">
        <is>
          <t>AVG ORDER VALUE</t>
        </is>
      </c>
      <c r="J4" s="3" t="inlineStr">
        <is>
          <t>ON-TIME DELIVERY</t>
        </is>
      </c>
    </row>
    <row r="7">
      <c r="A7" s="4" t="inlineStr">
        <is>
          <t>MONTHLY PERFORMANCE</t>
        </is>
      </c>
      <c r="G7" s="4" t="inlineStr">
        <is>
          <t>PRODUCT CATEGORY MIX</t>
        </is>
      </c>
    </row>
    <row r="8">
      <c r="A8" s="5" t="inlineStr">
        <is>
          <t>Month</t>
        </is>
      </c>
      <c r="B8" s="5" t="inlineStr">
        <is>
          <t>Orders</t>
        </is>
      </c>
      <c r="C8" s="5" t="inlineStr">
        <is>
          <t>Revenue ($)</t>
        </is>
      </c>
      <c r="D8" s="5" t="inlineStr">
        <is>
          <t>Avg Order ($)</t>
        </is>
      </c>
      <c r="E8" s="5" t="inlineStr">
        <is>
          <t>Growth %</t>
        </is>
      </c>
      <c r="G8" s="6" t="inlineStr">
        <is>
          <t>Category</t>
        </is>
      </c>
      <c r="H8" s="6" t="inlineStr">
        <is>
          <t>Orders</t>
        </is>
      </c>
      <c r="I8" s="6" t="inlineStr">
        <is>
          <t>% of Total</t>
        </is>
      </c>
      <c r="J8" s="6" t="inlineStr">
        <is>
          <t>Revenue</t>
        </is>
      </c>
    </row>
    <row r="9">
      <c r="A9" s="7" t="inlineStr">
        <is>
          <t>Nov 2025</t>
        </is>
      </c>
      <c r="B9" s="7" t="n">
        <v>128</v>
      </c>
      <c r="C9" s="8" t="n">
        <v>10534</v>
      </c>
      <c r="D9" s="9">
        <f>C9/B9</f>
        <v/>
      </c>
      <c r="E9" s="7" t="inlineStr">
        <is>
          <t>-</t>
        </is>
      </c>
      <c r="G9" s="7" t="inlineStr">
        <is>
          <t>Rings</t>
        </is>
      </c>
      <c r="H9" s="7" t="n">
        <v>158</v>
      </c>
      <c r="I9" s="10">
        <f>H9/$H$13</f>
        <v/>
      </c>
      <c r="J9" s="8" t="n">
        <v>14220</v>
      </c>
    </row>
    <row r="10">
      <c r="A10" s="7" t="inlineStr">
        <is>
          <t>Dec 2025</t>
        </is>
      </c>
      <c r="B10" s="7" t="n">
        <v>156</v>
      </c>
      <c r="C10" s="8" t="n">
        <v>14508</v>
      </c>
      <c r="D10" s="9">
        <f>C10/B10</f>
        <v/>
      </c>
      <c r="E10" s="11">
        <f>ROUND((C10-C9)/C9*100,1)</f>
        <v/>
      </c>
      <c r="G10" s="7" t="inlineStr">
        <is>
          <t>Necklaces</t>
        </is>
      </c>
      <c r="H10" s="7" t="n">
        <v>124</v>
      </c>
      <c r="I10" s="10">
        <f>H10/$H$13</f>
        <v/>
      </c>
      <c r="J10" s="8" t="n">
        <v>11160</v>
      </c>
    </row>
    <row r="11">
      <c r="A11" s="7" t="inlineStr">
        <is>
          <t>Jan 2026</t>
        </is>
      </c>
      <c r="B11" s="7" t="n">
        <v>142</v>
      </c>
      <c r="C11" s="8" t="n">
        <v>12709</v>
      </c>
      <c r="D11" s="9">
        <f>C11/B11</f>
        <v/>
      </c>
      <c r="E11" s="11">
        <f>ROUND((C11-C10)/C10*100,1)</f>
        <v/>
      </c>
      <c r="G11" s="7" t="inlineStr">
        <is>
          <t>Earrings</t>
        </is>
      </c>
      <c r="H11" s="7" t="n">
        <v>98</v>
      </c>
      <c r="I11" s="10">
        <f>H11/$H$13</f>
        <v/>
      </c>
      <c r="J11" s="8" t="n">
        <v>8330</v>
      </c>
    </row>
    <row r="12">
      <c r="A12" s="12" t="inlineStr">
        <is>
          <t>TOTAL</t>
        </is>
      </c>
      <c r="B12" s="12">
        <f>SUM(B9:B11)</f>
        <v/>
      </c>
      <c r="C12" s="13">
        <f>SUM(C9:C11)</f>
        <v/>
      </c>
      <c r="D12" s="14">
        <f>C12/B12</f>
        <v/>
      </c>
      <c r="G12" s="7" t="inlineStr">
        <is>
          <t>Bracelets</t>
        </is>
      </c>
      <c r="H12" s="7" t="n">
        <v>46</v>
      </c>
      <c r="I12" s="10">
        <f>H12/$H$13</f>
        <v/>
      </c>
      <c r="J12" s="8" t="n">
        <v>4041</v>
      </c>
    </row>
    <row r="13">
      <c r="G13" s="15" t="inlineStr">
        <is>
          <t>TOTAL</t>
        </is>
      </c>
      <c r="H13" s="15">
        <f>SUM(H9:H12)</f>
        <v/>
      </c>
      <c r="I13" s="16">
        <f>SUM(I9:I12)</f>
        <v/>
      </c>
      <c r="J13" s="17">
        <f>SUM(J9:J12)</f>
        <v/>
      </c>
    </row>
    <row r="47" ht="25" customHeight="1">
      <c r="A47" s="18" t="inlineStr">
        <is>
          <t>KEY INSIGHTS &amp; RECOMMENDATIONS</t>
        </is>
      </c>
    </row>
    <row r="48">
      <c r="A48" s="19" t="inlineStr">
        <is>
          <t>📈 TREND ANALYSIS</t>
        </is>
      </c>
    </row>
    <row r="49">
      <c r="A49" s="20" t="inlineStr">
        <is>
          <t>December showed 37.7% revenue spike driven by holiday shopping. January normalized to 142 orders.</t>
        </is>
      </c>
    </row>
    <row r="50">
      <c r="A50" s="19" t="inlineStr">
        <is>
          <t>🏆 TOP PERFORMER</t>
        </is>
      </c>
    </row>
    <row r="51">
      <c r="A51" s="20" t="inlineStr">
        <is>
          <t>Rings generate 37% of orders and 37.6% of revenue - maintain inventory levels and expand collection.</t>
        </is>
      </c>
    </row>
    <row r="52">
      <c r="A52" s="19" t="inlineStr">
        <is>
          <t>⚡ EFFICIENCY</t>
        </is>
      </c>
    </row>
    <row r="53">
      <c r="A53" s="20" t="inlineStr">
        <is>
          <t>Achieved 98% on-time delivery rate, exceeding 95% target. Average order processing: 18 hours.</t>
        </is>
      </c>
    </row>
    <row r="54">
      <c r="A54" s="19" t="inlineStr">
        <is>
          <t>💡 OPPORTUNITY</t>
        </is>
      </c>
    </row>
    <row r="55">
      <c r="A55" s="20" t="inlineStr">
        <is>
          <t>Bracelets represent only 10.8% of sales - consider promotional campaigns to boost this category.</t>
        </is>
      </c>
    </row>
  </sheetData>
  <mergeCells count="11">
    <mergeCell ref="A1:M1"/>
    <mergeCell ref="D4:F4"/>
    <mergeCell ref="A51:M51"/>
    <mergeCell ref="G4:I4"/>
    <mergeCell ref="A53:M53"/>
    <mergeCell ref="J4:L4"/>
    <mergeCell ref="A55:M55"/>
    <mergeCell ref="A4:C4"/>
    <mergeCell ref="A2:M2"/>
    <mergeCell ref="A49:M49"/>
    <mergeCell ref="A47:M4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2026-02-07T00:40:23Z</dcterms:created>
  <dcterms:modified xmlns:dcterms="http://purl.org/dc/terms/" xmlns:xsi="http://www.w3.org/2001/XMLSchema-instance" xsi:type="dcterms:W3CDTF">2026-02-07T00:40:23Z</dcterms:modified>
</cp:coreProperties>
</file>